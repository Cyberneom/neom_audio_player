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neom_audio_player — Regression Testing Checklist</t>
        </is>
      </c>
    </row>
    <row r="2">
      <c r="A2" s="2" t="inlineStr">
        <is>
          <t>Módulo:</t>
        </is>
      </c>
      <c r="B2" s="3" t="inlineStr">
        <is>
          <t>neom_audio_player</t>
        </is>
      </c>
    </row>
    <row r="3">
      <c r="A3" s="2" t="inlineStr">
        <is>
          <t>Categoría:</t>
        </is>
      </c>
      <c r="B3" s="3" t="inlineStr">
        <is>
          <t>media</t>
        </is>
      </c>
    </row>
    <row r="4">
      <c r="A4" s="2" t="inlineStr">
        <is>
          <t>Descripción:</t>
        </is>
      </c>
      <c r="B4" s="3" t="inlineStr">
        <is>
          <t>Reproductor de audio universal: queue, smart recommendations, copyWith preserva fields.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Cases'!A2:A8)</f>
        <v/>
      </c>
    </row>
    <row r="12">
      <c r="A12" s="5" t="inlineStr">
        <is>
          <t>Passed</t>
        </is>
      </c>
      <c r="B12" s="6">
        <f>COUNTIF('Test Cases'!F2:F8,"Passed")</f>
        <v/>
      </c>
    </row>
    <row r="13">
      <c r="A13" s="5" t="inlineStr">
        <is>
          <t>Failed</t>
        </is>
      </c>
      <c r="B13" s="6">
        <f>COUNTIF('Test Cases'!F2:F8,"Failed")</f>
        <v/>
      </c>
    </row>
    <row r="14">
      <c r="A14" s="5" t="inlineStr">
        <is>
          <t>Blocked</t>
        </is>
      </c>
      <c r="B14" s="6">
        <f>COUNTIF('Test Cases'!F2:F8,"Blocked")</f>
        <v/>
      </c>
    </row>
    <row r="15">
      <c r="A15" s="5" t="inlineStr">
        <is>
          <t>Skipped</t>
        </is>
      </c>
      <c r="B15" s="6">
        <f>COUNTIF('Test Cases'!F2:F8,"Skipped")</f>
        <v/>
      </c>
    </row>
    <row r="16">
      <c r="A16" s="5" t="inlineStr">
        <is>
          <t>Not Run</t>
        </is>
      </c>
      <c r="B16" s="6">
        <f>COUNTIF('Test Cases'!F2:F8,"Not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Cases'!D2:D8,"P0")</f>
        <v/>
      </c>
      <c r="C21" s="8">
        <f>COUNTIFS('Test Cases'!D2:D8,"P0",'Test Cases'!F2:F8,"Passed")</f>
        <v/>
      </c>
      <c r="D21" s="8">
        <f>COUNTIFS('Test Cases'!D2:D8,"P0",'Test Cases'!F2:F8,"Failed")</f>
        <v/>
      </c>
      <c r="E21" s="8">
        <f>COUNTIFS('Test Cases'!D2:D8,"P0",'Test Cases'!F2:F8,"Not Run")</f>
        <v/>
      </c>
    </row>
    <row r="22">
      <c r="A22" s="5" t="inlineStr">
        <is>
          <t>P1</t>
        </is>
      </c>
      <c r="B22" s="8">
        <f>COUNTIF('Test Cases'!D2:D8,"P1")</f>
        <v/>
      </c>
      <c r="C22" s="8">
        <f>COUNTIFS('Test Cases'!D2:D8,"P1",'Test Cases'!F2:F8,"Passed")</f>
        <v/>
      </c>
      <c r="D22" s="8">
        <f>COUNTIFS('Test Cases'!D2:D8,"P1",'Test Cases'!F2:F8,"Failed")</f>
        <v/>
      </c>
      <c r="E22" s="8">
        <f>COUNTIFS('Test Cases'!D2:D8,"P1",'Test Cases'!F2:F8,"Not Run")</f>
        <v/>
      </c>
    </row>
    <row r="23">
      <c r="A23" s="5" t="inlineStr">
        <is>
          <t>P2</t>
        </is>
      </c>
      <c r="B23" s="8">
        <f>COUNTIF('Test Cases'!D2:D8,"P2")</f>
        <v/>
      </c>
      <c r="C23" s="8">
        <f>COUNTIFS('Test Cases'!D2:D8,"P2",'Test Cases'!F2:F8,"Passed")</f>
        <v/>
      </c>
      <c r="D23" s="8">
        <f>COUNTIFS('Test Cases'!D2:D8,"P2",'Test Cases'!F2:F8,"Failed")</f>
        <v/>
      </c>
      <c r="E23" s="8">
        <f>COUNTIFS('Test Cases'!D2:D8,"P2",'Test Cases'!F2:F8,"Not Run")</f>
        <v/>
      </c>
    </row>
    <row r="24">
      <c r="A24" s="5" t="inlineStr">
        <is>
          <t>P3</t>
        </is>
      </c>
      <c r="B24" s="8">
        <f>COUNTIF('Test Cases'!D2:D8,"P3")</f>
        <v/>
      </c>
      <c r="C24" s="8">
        <f>COUNTIFS('Test Cases'!D2:D8,"P3",'Test Cases'!F2:F8,"Passed")</f>
        <v/>
      </c>
      <c r="D24" s="8">
        <f>COUNTIFS('Test Cases'!D2:D8,"P3",'Test Cases'!F2:F8,"Failed")</f>
        <v/>
      </c>
      <c r="E24" s="8">
        <f>COUNTIFS('Test Cases'!D2:D8,"P3",'Test Cases'!F2:F8,"Not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AUD-01</t>
        </is>
      </c>
      <c r="B2" s="9" t="inlineStr">
        <is>
          <t>neom_audio_player</t>
        </is>
      </c>
      <c r="C2" s="9" t="inlineStr">
        <is>
          <t>Play</t>
        </is>
      </c>
      <c r="D2" s="9" t="inlineStr">
        <is>
          <t>P0</t>
        </is>
      </c>
      <c r="E2" s="9" t="inlineStr">
        <is>
          <t>Play track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Track</t>
        </is>
      </c>
      <c r="M2" s="9" t="inlineStr">
        <is>
          <t>Tap play</t>
        </is>
      </c>
      <c r="N2" s="9" t="inlineStr">
        <is>
          <t>Audio reproduce</t>
        </is>
      </c>
      <c r="O2" s="9" t="inlineStr"/>
    </row>
    <row r="3">
      <c r="A3" s="10" t="inlineStr">
        <is>
          <t>AUD-02</t>
        </is>
      </c>
      <c r="B3" s="10" t="inlineStr">
        <is>
          <t>neom_audio_player</t>
        </is>
      </c>
      <c r="C3" s="10" t="inlineStr">
        <is>
          <t>Queue</t>
        </is>
      </c>
      <c r="D3" s="10" t="inlineStr">
        <is>
          <t>P0</t>
        </is>
      </c>
      <c r="E3" s="10" t="inlineStr">
        <is>
          <t>Smart queue add reco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upcoming&lt;=3</t>
        </is>
      </c>
      <c r="M3" s="10" t="inlineStr">
        <is>
          <t>shouldAddRec</t>
        </is>
      </c>
      <c r="N3" s="10">
        <f> true</f>
        <v/>
      </c>
      <c r="O3" s="10" t="inlineStr"/>
    </row>
    <row r="4">
      <c r="A4" s="9" t="inlineStr">
        <is>
          <t>AUD-03</t>
        </is>
      </c>
      <c r="B4" s="9" t="inlineStr">
        <is>
          <t>neom_audio_player</t>
        </is>
      </c>
      <c r="C4" s="9" t="inlineStr">
        <is>
          <t>CopyWith</t>
        </is>
      </c>
      <c r="D4" s="9" t="inlineStr">
        <is>
          <t>P0</t>
        </is>
      </c>
      <c r="E4" s="9" t="inlineStr">
        <is>
          <t>Preserva fields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SmartQueue</t>
        </is>
      </c>
      <c r="M4" s="9" t="inlineStr">
        <is>
          <t>copyWith partial</t>
        </is>
      </c>
      <c r="N4" s="9" t="inlineStr">
        <is>
          <t>Otros intactos</t>
        </is>
      </c>
      <c r="O4" s="9" t="inlineStr"/>
    </row>
    <row r="5">
      <c r="A5" s="10" t="inlineStr">
        <is>
          <t>AUD-04</t>
        </is>
      </c>
      <c r="B5" s="10" t="inlineStr">
        <is>
          <t>neom_audio_player</t>
        </is>
      </c>
      <c r="C5" s="10" t="inlineStr">
        <is>
          <t>Next</t>
        </is>
      </c>
      <c r="D5" s="10" t="inlineStr">
        <is>
          <t>P0</t>
        </is>
      </c>
      <c r="E5" s="10" t="inlineStr">
        <is>
          <t>Next track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Queue</t>
        </is>
      </c>
      <c r="M5" s="10" t="inlineStr">
        <is>
          <t>Next</t>
        </is>
      </c>
      <c r="N5" s="10" t="inlineStr">
        <is>
          <t>Cambia</t>
        </is>
      </c>
      <c r="O5" s="10" t="inlineStr"/>
    </row>
    <row r="6">
      <c r="A6" s="9" t="inlineStr">
        <is>
          <t>AUD-05</t>
        </is>
      </c>
      <c r="B6" s="9" t="inlineStr">
        <is>
          <t>neom_audio_player</t>
        </is>
      </c>
      <c r="C6" s="9" t="inlineStr">
        <is>
          <t>Pause</t>
        </is>
      </c>
      <c r="D6" s="9" t="inlineStr">
        <is>
          <t>P0</t>
        </is>
      </c>
      <c r="E6" s="9" t="inlineStr">
        <is>
          <t>Pause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Playing</t>
        </is>
      </c>
      <c r="M6" s="9" t="inlineStr">
        <is>
          <t>Pause</t>
        </is>
      </c>
      <c r="N6" s="9" t="inlineStr">
        <is>
          <t>Pausado</t>
        </is>
      </c>
      <c r="O6" s="9" t="inlineStr"/>
    </row>
    <row r="7">
      <c r="A7" s="10" t="inlineStr">
        <is>
          <t>AUD-06</t>
        </is>
      </c>
      <c r="B7" s="10" t="inlineStr">
        <is>
          <t>neom_audio_player</t>
        </is>
      </c>
      <c r="C7" s="10" t="inlineStr">
        <is>
          <t>BG</t>
        </is>
      </c>
      <c r="D7" s="10" t="inlineStr">
        <is>
          <t>P1</t>
        </is>
      </c>
      <c r="E7" s="10" t="inlineStr">
        <is>
          <t>Background playback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Min app</t>
        </is>
      </c>
      <c r="M7" s="10" t="inlineStr">
        <is>
          <t>Continúa</t>
        </is>
      </c>
      <c r="N7" s="10" t="inlineStr">
        <is>
          <t>Sigue sonando</t>
        </is>
      </c>
      <c r="O7" s="10" t="inlineStr"/>
    </row>
    <row r="8">
      <c r="A8" s="9" t="inlineStr">
        <is>
          <t>AUD-07</t>
        </is>
      </c>
      <c r="B8" s="9" t="inlineStr">
        <is>
          <t>neom_audio_player</t>
        </is>
      </c>
      <c r="C8" s="9" t="inlineStr">
        <is>
          <t>Notif</t>
        </is>
      </c>
      <c r="D8" s="9" t="inlineStr">
        <is>
          <t>P1</t>
        </is>
      </c>
      <c r="E8" s="9" t="inlineStr">
        <is>
          <t>Notif media controls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Playing</t>
        </is>
      </c>
      <c r="M8" s="9" t="inlineStr">
        <is>
          <t>Pull notif</t>
        </is>
      </c>
      <c r="N8" s="9" t="inlineStr">
        <is>
          <t>Controls</t>
        </is>
      </c>
      <c r="O8" s="9" t="inlineStr"/>
    </row>
  </sheetData>
  <autoFilter ref="A1:O8"/>
  <conditionalFormatting sqref="F2:F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8" showDropDown="0" showInputMessage="0" showErrorMessage="0" allowBlank="1" type="list">
      <formula1>"Not Run,Passed,Failed,Blocked,Skipped"</formula1>
    </dataValidation>
    <dataValidation sqref="D2:D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BG</t>
        </is>
      </c>
      <c r="B2" s="11">
        <f>COUNTIF('Test Cases'!C2:C8,A2)</f>
        <v/>
      </c>
      <c r="C2" s="11">
        <f>COUNTIFS('Test Cases'!C2:C8,A2,'Test Cases'!F2:F8,"Passed")</f>
        <v/>
      </c>
      <c r="D2" s="11">
        <f>COUNTIFS('Test Cases'!C2:C8,A2,'Test Cases'!F2:F8,"Failed")</f>
        <v/>
      </c>
      <c r="E2" s="11">
        <f>COUNTIFS('Test Cases'!C2:C8,A2,'Test Cases'!F2:F8,"Blocked")</f>
        <v/>
      </c>
      <c r="F2" s="11">
        <f>COUNTIFS('Test Cases'!C2:C8,A2,'Test Cases'!F2:F8,"Skipped")</f>
        <v/>
      </c>
      <c r="G2" s="11">
        <f>COUNTIFS('Test Cases'!C2:C8,A2,'Test Cases'!F2:F8,"Not Run")</f>
        <v/>
      </c>
      <c r="H2" s="12">
        <f>IFERROR(C2/(C2+D2),0)</f>
        <v/>
      </c>
    </row>
    <row r="3">
      <c r="A3" s="11" t="inlineStr">
        <is>
          <t>CopyWith</t>
        </is>
      </c>
      <c r="B3" s="11">
        <f>COUNTIF('Test Cases'!C2:C8,A3)</f>
        <v/>
      </c>
      <c r="C3" s="11">
        <f>COUNTIFS('Test Cases'!C2:C8,A3,'Test Cases'!F2:F8,"Passed")</f>
        <v/>
      </c>
      <c r="D3" s="11">
        <f>COUNTIFS('Test Cases'!C2:C8,A3,'Test Cases'!F2:F8,"Failed")</f>
        <v/>
      </c>
      <c r="E3" s="11">
        <f>COUNTIFS('Test Cases'!C2:C8,A3,'Test Cases'!F2:F8,"Blocked")</f>
        <v/>
      </c>
      <c r="F3" s="11">
        <f>COUNTIFS('Test Cases'!C2:C8,A3,'Test Cases'!F2:F8,"Skipped")</f>
        <v/>
      </c>
      <c r="G3" s="11">
        <f>COUNTIFS('Test Cases'!C2:C8,A3,'Test Cases'!F2:F8,"Not Run")</f>
        <v/>
      </c>
      <c r="H3" s="12">
        <f>IFERROR(C3/(C3+D3),0)</f>
        <v/>
      </c>
    </row>
    <row r="4">
      <c r="A4" s="11" t="inlineStr">
        <is>
          <t>Next</t>
        </is>
      </c>
      <c r="B4" s="11">
        <f>COUNTIF('Test Cases'!C2:C8,A4)</f>
        <v/>
      </c>
      <c r="C4" s="11">
        <f>COUNTIFS('Test Cases'!C2:C8,A4,'Test Cases'!F2:F8,"Passed")</f>
        <v/>
      </c>
      <c r="D4" s="11">
        <f>COUNTIFS('Test Cases'!C2:C8,A4,'Test Cases'!F2:F8,"Failed")</f>
        <v/>
      </c>
      <c r="E4" s="11">
        <f>COUNTIFS('Test Cases'!C2:C8,A4,'Test Cases'!F2:F8,"Blocked")</f>
        <v/>
      </c>
      <c r="F4" s="11">
        <f>COUNTIFS('Test Cases'!C2:C8,A4,'Test Cases'!F2:F8,"Skipped")</f>
        <v/>
      </c>
      <c r="G4" s="11">
        <f>COUNTIFS('Test Cases'!C2:C8,A4,'Test Cases'!F2:F8,"Not Run")</f>
        <v/>
      </c>
      <c r="H4" s="12">
        <f>IFERROR(C4/(C4+D4),0)</f>
        <v/>
      </c>
    </row>
    <row r="5">
      <c r="A5" s="11" t="inlineStr">
        <is>
          <t>Notif</t>
        </is>
      </c>
      <c r="B5" s="11">
        <f>COUNTIF('Test Cases'!C2:C8,A5)</f>
        <v/>
      </c>
      <c r="C5" s="11">
        <f>COUNTIFS('Test Cases'!C2:C8,A5,'Test Cases'!F2:F8,"Passed")</f>
        <v/>
      </c>
      <c r="D5" s="11">
        <f>COUNTIFS('Test Cases'!C2:C8,A5,'Test Cases'!F2:F8,"Failed")</f>
        <v/>
      </c>
      <c r="E5" s="11">
        <f>COUNTIFS('Test Cases'!C2:C8,A5,'Test Cases'!F2:F8,"Blocked")</f>
        <v/>
      </c>
      <c r="F5" s="11">
        <f>COUNTIFS('Test Cases'!C2:C8,A5,'Test Cases'!F2:F8,"Skipped")</f>
        <v/>
      </c>
      <c r="G5" s="11">
        <f>COUNTIFS('Test Cases'!C2:C8,A5,'Test Cases'!F2:F8,"Not Run")</f>
        <v/>
      </c>
      <c r="H5" s="12">
        <f>IFERROR(C5/(C5+D5),0)</f>
        <v/>
      </c>
    </row>
    <row r="6">
      <c r="A6" s="11" t="inlineStr">
        <is>
          <t>Pause</t>
        </is>
      </c>
      <c r="B6" s="11">
        <f>COUNTIF('Test Cases'!C2:C8,A6)</f>
        <v/>
      </c>
      <c r="C6" s="11">
        <f>COUNTIFS('Test Cases'!C2:C8,A6,'Test Cases'!F2:F8,"Passed")</f>
        <v/>
      </c>
      <c r="D6" s="11">
        <f>COUNTIFS('Test Cases'!C2:C8,A6,'Test Cases'!F2:F8,"Failed")</f>
        <v/>
      </c>
      <c r="E6" s="11">
        <f>COUNTIFS('Test Cases'!C2:C8,A6,'Test Cases'!F2:F8,"Blocked")</f>
        <v/>
      </c>
      <c r="F6" s="11">
        <f>COUNTIFS('Test Cases'!C2:C8,A6,'Test Cases'!F2:F8,"Skipped")</f>
        <v/>
      </c>
      <c r="G6" s="11">
        <f>COUNTIFS('Test Cases'!C2:C8,A6,'Test Cases'!F2:F8,"Not Run")</f>
        <v/>
      </c>
      <c r="H6" s="12">
        <f>IFERROR(C6/(C6+D6),0)</f>
        <v/>
      </c>
    </row>
    <row r="7">
      <c r="A7" s="11" t="inlineStr">
        <is>
          <t>Play</t>
        </is>
      </c>
      <c r="B7" s="11">
        <f>COUNTIF('Test Cases'!C2:C8,A7)</f>
        <v/>
      </c>
      <c r="C7" s="11">
        <f>COUNTIFS('Test Cases'!C2:C8,A7,'Test Cases'!F2:F8,"Passed")</f>
        <v/>
      </c>
      <c r="D7" s="11">
        <f>COUNTIFS('Test Cases'!C2:C8,A7,'Test Cases'!F2:F8,"Failed")</f>
        <v/>
      </c>
      <c r="E7" s="11">
        <f>COUNTIFS('Test Cases'!C2:C8,A7,'Test Cases'!F2:F8,"Blocked")</f>
        <v/>
      </c>
      <c r="F7" s="11">
        <f>COUNTIFS('Test Cases'!C2:C8,A7,'Test Cases'!F2:F8,"Skipped")</f>
        <v/>
      </c>
      <c r="G7" s="11">
        <f>COUNTIFS('Test Cases'!C2:C8,A7,'Test Cases'!F2:F8,"Not Run")</f>
        <v/>
      </c>
      <c r="H7" s="12">
        <f>IFERROR(C7/(C7+D7),0)</f>
        <v/>
      </c>
    </row>
    <row r="8">
      <c r="A8" s="11" t="inlineStr">
        <is>
          <t>Queue</t>
        </is>
      </c>
      <c r="B8" s="11">
        <f>COUNTIF('Test Cases'!C2:C8,A8)</f>
        <v/>
      </c>
      <c r="C8" s="11">
        <f>COUNTIFS('Test Cases'!C2:C8,A8,'Test Cases'!F2:F8,"Passed")</f>
        <v/>
      </c>
      <c r="D8" s="11">
        <f>COUNTIFS('Test Cases'!C2:C8,A8,'Test Cases'!F2:F8,"Failed")</f>
        <v/>
      </c>
      <c r="E8" s="11">
        <f>COUNTIFS('Test Cases'!C2:C8,A8,'Test Cases'!F2:F8,"Blocked")</f>
        <v/>
      </c>
      <c r="F8" s="11">
        <f>COUNTIFS('Test Cases'!C2:C8,A8,'Test Cases'!F2:F8,"Skipped")</f>
        <v/>
      </c>
      <c r="G8" s="11">
        <f>COUNTIFS('Test Cases'!C2:C8,A8,'Test Cases'!F2:F8,"Not Run")</f>
        <v/>
      </c>
      <c r="H8" s="12">
        <f>IFERROR(C8/(C8+D8),0)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Cases'!D2:D8,"P0",'Test Cases'!F2:F8,"Failed")=0,"OK","BLOCKED")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Cases'!D2:D8,"P1",'Test Cases'!F2:F8,"Passed")/COUNTIF('Test Cases'!D2:D8,"P1"),0)&gt;=0.95,"OK","REVIEW")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Cases'!D2:D8,"P2",'Test Cases'!F2:F8,"Passed")+COUNTIFS('Test Cases'!D2:D8,"P2",'Test Cases'!F2:F8,"Failed"))/COUNTIF('Test Cases'!D2:D8,"P2"),0)&gt;=0.8,"OK","REVIEW")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2026-04-08T16:23:02Z</dcterms:created>
  <dcterms:modified xmlns:dcterms="http://purl.org/dc/terms/" xmlns:xsi="http://www.w3.org/2001/XMLSchema-instance" xsi:type="dcterms:W3CDTF">2026-04-08T16:23:02Z</dcterms:modified>
</cp:coreProperties>
</file>